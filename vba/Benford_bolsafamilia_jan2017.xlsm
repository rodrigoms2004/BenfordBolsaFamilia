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drigo M Silveira\Documents\Prandiano_Excel\Benford\"/>
    </mc:Choice>
  </mc:AlternateContent>
  <xr:revisionPtr revIDLastSave="0" documentId="12_ncr:500000_{42F7A4C8-3418-4259-B1F2-45C407AE2E24}" xr6:coauthVersionLast="31" xr6:coauthVersionMax="31" xr10:uidLastSave="{00000000-0000-0000-0000-000000000000}"/>
  <bookViews>
    <workbookView xWindow="0" yWindow="0" windowWidth="19200" windowHeight="7485" activeTab="3" xr2:uid="{5FCE03C8-F28E-434B-A1CB-2A40F9B5DD77}"/>
  </bookViews>
  <sheets>
    <sheet name="Benford_Teórico" sheetId="8" r:id="rId1"/>
    <sheet name="GráficoBenford" sheetId="10" r:id="rId2"/>
    <sheet name="BendfordDigitos" sheetId="9" r:id="rId3"/>
    <sheet name="BolsaFamiliaJan2017" sheetId="1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2" l="1"/>
  <c r="D22" i="12"/>
  <c r="D13" i="12"/>
  <c r="D14" i="12"/>
  <c r="D16" i="12"/>
  <c r="D17" i="12"/>
  <c r="D18" i="12"/>
  <c r="D19" i="12"/>
  <c r="D20" i="12"/>
  <c r="D21" i="12"/>
  <c r="D12" i="12"/>
  <c r="C7" i="12"/>
  <c r="I3" i="9"/>
  <c r="I4" i="9"/>
  <c r="I5" i="9"/>
  <c r="I6" i="9"/>
  <c r="I7" i="9"/>
  <c r="I8" i="9"/>
  <c r="I9" i="9"/>
  <c r="I10" i="9"/>
  <c r="I11" i="9"/>
  <c r="I2" i="9"/>
  <c r="G3" i="9"/>
  <c r="G4" i="9"/>
  <c r="G5" i="9"/>
  <c r="G6" i="9"/>
  <c r="G7" i="9"/>
  <c r="G8" i="9"/>
  <c r="G9" i="9"/>
  <c r="G10" i="9"/>
  <c r="G11" i="9"/>
  <c r="G2" i="9"/>
  <c r="D12" i="9"/>
  <c r="C12" i="9"/>
  <c r="B22" i="12"/>
  <c r="F21" i="12"/>
  <c r="F20" i="12"/>
  <c r="F19" i="12"/>
  <c r="F18" i="12"/>
  <c r="F17" i="12"/>
  <c r="F16" i="12"/>
  <c r="F15" i="12"/>
  <c r="F14" i="12"/>
  <c r="F13" i="12"/>
  <c r="F12" i="12"/>
  <c r="J3" i="9"/>
  <c r="J4" i="9"/>
  <c r="J5" i="9"/>
  <c r="J6" i="9"/>
  <c r="J7" i="9"/>
  <c r="J8" i="9"/>
  <c r="J9" i="9"/>
  <c r="J10" i="9"/>
  <c r="J11" i="9"/>
  <c r="J2" i="9"/>
  <c r="H3" i="9"/>
  <c r="H4" i="9"/>
  <c r="H5" i="9"/>
  <c r="H6" i="9"/>
  <c r="H7" i="9"/>
  <c r="H8" i="9"/>
  <c r="H9" i="9"/>
  <c r="H10" i="9"/>
  <c r="H11" i="9"/>
  <c r="H2" i="9"/>
  <c r="F3" i="9" l="1"/>
  <c r="F4" i="9"/>
  <c r="F5" i="9"/>
  <c r="F6" i="9"/>
  <c r="F7" i="9"/>
  <c r="F8" i="9"/>
  <c r="F9" i="9"/>
  <c r="F10" i="9"/>
  <c r="F11" i="9"/>
  <c r="F2" i="9"/>
  <c r="E5" i="9"/>
  <c r="E9" i="9"/>
  <c r="E2" i="9"/>
  <c r="B12" i="9"/>
  <c r="E4" i="9" s="1"/>
  <c r="E11" i="9" l="1"/>
  <c r="E7" i="9"/>
  <c r="E3" i="9"/>
  <c r="E10" i="9"/>
  <c r="E8" i="9"/>
  <c r="E6" i="9"/>
</calcChain>
</file>

<file path=xl/sharedStrings.xml><?xml version="1.0" encoding="utf-8"?>
<sst xmlns="http://schemas.openxmlformats.org/spreadsheetml/2006/main" count="34" uniqueCount="30">
  <si>
    <t>Primeiro Dígito</t>
  </si>
  <si>
    <t>Segundo Dígito</t>
  </si>
  <si>
    <t>Terceiro Dígito</t>
  </si>
  <si>
    <t>Quarto Dígito</t>
  </si>
  <si>
    <t>Total</t>
  </si>
  <si>
    <t>Digito</t>
  </si>
  <si>
    <t>Primeiro Digito E</t>
  </si>
  <si>
    <t>Primeiro Digito Benford</t>
  </si>
  <si>
    <t>Segundo Digito Benford</t>
  </si>
  <si>
    <t>Segundo Digito E</t>
  </si>
  <si>
    <t>Total Segundo Digito</t>
  </si>
  <si>
    <t>Total Terceiro Digito</t>
  </si>
  <si>
    <t>Terceiro Digito E</t>
  </si>
  <si>
    <t>Bolsa Família Janeiro de 2017</t>
  </si>
  <si>
    <t>Benford Teórico 01.05.2018 - Rodrigo Silveira - rodrigo.silveira@rmsmath.com.br</t>
  </si>
  <si>
    <t>Terceiro Digito Benford</t>
  </si>
  <si>
    <t>Valor total pago</t>
  </si>
  <si>
    <t>Mín</t>
  </si>
  <si>
    <t>Máx</t>
  </si>
  <si>
    <t>Beneficiários(B)</t>
  </si>
  <si>
    <t>Benefício Médio(BM)</t>
  </si>
  <si>
    <t>B X BM</t>
  </si>
  <si>
    <t>Benefício Médio (BM)</t>
  </si>
  <si>
    <t>Desvio padrão (DP)</t>
  </si>
  <si>
    <t>Beneficiários (B)</t>
  </si>
  <si>
    <t>DP</t>
  </si>
  <si>
    <t>DP %</t>
  </si>
  <si>
    <t>Desvio padrão (DP %)</t>
  </si>
  <si>
    <t xml:space="preserve"> R$ 2.425.388.470,00 </t>
  </si>
  <si>
    <t>Média e desvio padrão baseados no primeiro dígito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</si>
</sst>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6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3">
    <xf numFmtId="0" fontId="0" fillId="0" borderId="0" xfId="0"/>
    <xf numFmtId="10" fontId="0" fillId="0" borderId="0" xfId="1" applyNumberFormat="1" applyFont="1"/>
    <xf numFmtId="0" fontId="2" fillId="0" borderId="0" xfId="0" applyFont="1"/>
    <xf numFmtId="10" fontId="0" fillId="0" borderId="0" xfId="0" applyNumberFormat="1"/>
    <xf numFmtId="44" fontId="0" fillId="0" borderId="0" xfId="2" applyFont="1"/>
    <xf numFmtId="0" fontId="2" fillId="0" borderId="1" xfId="0" applyFont="1" applyBorder="1"/>
    <xf numFmtId="0" fontId="0" fillId="0" borderId="1" xfId="0" applyBorder="1"/>
    <xf numFmtId="44" fontId="0" fillId="0" borderId="1" xfId="2" applyFont="1" applyBorder="1"/>
    <xf numFmtId="10" fontId="0" fillId="0" borderId="1" xfId="1" applyNumberFormat="1" applyFont="1" applyBorder="1"/>
    <xf numFmtId="166" fontId="0" fillId="0" borderId="1" xfId="3" applyNumberFormat="1" applyFont="1" applyBorder="1"/>
    <xf numFmtId="44" fontId="0" fillId="0" borderId="0" xfId="2" applyFont="1" applyBorder="1"/>
    <xf numFmtId="10" fontId="0" fillId="0" borderId="0" xfId="1" applyNumberFormat="1" applyFont="1" applyBorder="1"/>
    <xf numFmtId="166" fontId="0" fillId="0" borderId="0" xfId="3" applyNumberFormat="1" applyFont="1" applyBorder="1"/>
    <xf numFmtId="44" fontId="4" fillId="0" borderId="1" xfId="2" applyFont="1" applyBorder="1"/>
    <xf numFmtId="0" fontId="2" fillId="0" borderId="2" xfId="0" applyFont="1" applyBorder="1"/>
    <xf numFmtId="0" fontId="0" fillId="0" borderId="2" xfId="0" applyBorder="1"/>
    <xf numFmtId="0" fontId="2" fillId="0" borderId="3" xfId="0" applyFont="1" applyBorder="1"/>
    <xf numFmtId="0" fontId="2" fillId="0" borderId="4" xfId="0" applyFont="1" applyBorder="1"/>
    <xf numFmtId="44" fontId="0" fillId="0" borderId="6" xfId="2" applyFont="1" applyBorder="1"/>
    <xf numFmtId="10" fontId="0" fillId="0" borderId="6" xfId="1" applyNumberFormat="1" applyFont="1" applyBorder="1"/>
    <xf numFmtId="0" fontId="2" fillId="0" borderId="8" xfId="0" applyFont="1" applyBorder="1"/>
    <xf numFmtId="166" fontId="0" fillId="0" borderId="5" xfId="3" applyNumberFormat="1" applyFont="1" applyBorder="1"/>
    <xf numFmtId="44" fontId="3" fillId="0" borderId="7" xfId="2" applyFont="1" applyBorder="1"/>
  </cellXfs>
  <cellStyles count="4">
    <cellStyle name="Moeda" xfId="2" builtinId="4"/>
    <cellStyle name="Normal" xfId="0" builtinId="0"/>
    <cellStyle name="Porcentagem" xfId="1" builtinId="5"/>
    <cellStyle name="Vírgula" xfId="3" builtinId="3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1FD803-8E04-48DB-B98E-4CDAFF4DAD80}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Benford_Teórico!$B$3</c:f>
              <c:strCache>
                <c:ptCount val="1"/>
                <c:pt idx="0">
                  <c:v>Primeiro Dígito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Benford_Teórico!$A$4:$A$13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Benford_Teórico!$B$4:$B$13</c:f>
              <c:numCache>
                <c:formatCode>0.00%</c:formatCode>
                <c:ptCount val="10"/>
                <c:pt idx="0">
                  <c:v>0</c:v>
                </c:pt>
                <c:pt idx="1">
                  <c:v>0.3010299956639812</c:v>
                </c:pt>
                <c:pt idx="2">
                  <c:v>0.17609125905568124</c:v>
                </c:pt>
                <c:pt idx="3">
                  <c:v>0.12493873660829993</c:v>
                </c:pt>
                <c:pt idx="4">
                  <c:v>9.691001300805642E-2</c:v>
                </c:pt>
                <c:pt idx="5">
                  <c:v>7.9181246047624818E-2</c:v>
                </c:pt>
                <c:pt idx="6">
                  <c:v>6.6946789630613221E-2</c:v>
                </c:pt>
                <c:pt idx="7">
                  <c:v>5.7991946977686733E-2</c:v>
                </c:pt>
                <c:pt idx="8">
                  <c:v>5.1152522447381291E-2</c:v>
                </c:pt>
                <c:pt idx="9">
                  <c:v>4.5757490560675143E-2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9-4007-BBD3-ED1340D56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847456"/>
        <c:axId val="842705392"/>
      </c:barChart>
      <c:catAx>
        <c:axId val="8458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2705392"/>
        <c:crosses val="autoZero"/>
        <c:auto val="1"/>
        <c:lblAlgn val="ctr"/>
        <c:lblOffset val="100"/>
        <c:noMultiLvlLbl val="0"/>
      </c:catAx>
      <c:valAx>
        <c:axId val="84270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58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Benford_Teórico!$C$3</c:f>
              <c:strCache>
                <c:ptCount val="1"/>
                <c:pt idx="0">
                  <c:v>Segundo Dígito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Benford_Teórico!$A$4:$A$13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Benford_Teórico!$C$4:$C$13</c:f>
              <c:numCache>
                <c:formatCode>0.00%</c:formatCode>
                <c:ptCount val="10"/>
                <c:pt idx="0">
                  <c:v>0.11967926859688076</c:v>
                </c:pt>
                <c:pt idx="1">
                  <c:v>0.1138901034075564</c:v>
                </c:pt>
                <c:pt idx="2">
                  <c:v>0.10882149900550823</c:v>
                </c:pt>
                <c:pt idx="3">
                  <c:v>0.10432956023095939</c:v>
                </c:pt>
                <c:pt idx="4">
                  <c:v>0.10030820226757937</c:v>
                </c:pt>
                <c:pt idx="5">
                  <c:v>9.6677235802322431E-2</c:v>
                </c:pt>
                <c:pt idx="6">
                  <c:v>9.337473578303615E-2</c:v>
                </c:pt>
                <c:pt idx="7">
                  <c:v>9.0351989269603319E-2</c:v>
                </c:pt>
                <c:pt idx="8">
                  <c:v>8.7570053578861384E-2</c:v>
                </c:pt>
                <c:pt idx="9">
                  <c:v>8.4997352057692238E-2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6-46EB-BF59-EAB9936FD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2436320"/>
        <c:axId val="997848560"/>
      </c:barChart>
      <c:catAx>
        <c:axId val="107243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7848560"/>
        <c:crosses val="autoZero"/>
        <c:auto val="1"/>
        <c:lblAlgn val="ctr"/>
        <c:lblOffset val="100"/>
        <c:noMultiLvlLbl val="0"/>
      </c:catAx>
      <c:valAx>
        <c:axId val="9978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243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Benford_Teórico!$D$3</c:f>
              <c:strCache>
                <c:ptCount val="1"/>
                <c:pt idx="0">
                  <c:v>Terceiro Dígito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Benford_Teórico!$A$4:$A$13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Benford_Teórico!$D$4:$D$13</c:f>
              <c:numCache>
                <c:formatCode>0.00%</c:formatCode>
                <c:ptCount val="10"/>
                <c:pt idx="0">
                  <c:v>0.1017843646442167</c:v>
                </c:pt>
                <c:pt idx="1">
                  <c:v>0.1013759774478013</c:v>
                </c:pt>
                <c:pt idx="2">
                  <c:v>0.10097219813704165</c:v>
                </c:pt>
                <c:pt idx="3">
                  <c:v>0.10057293211092622</c:v>
                </c:pt>
                <c:pt idx="4">
                  <c:v>0.1001780876279476</c:v>
                </c:pt>
                <c:pt idx="5">
                  <c:v>9.9787575692177471E-2</c:v>
                </c:pt>
                <c:pt idx="6">
                  <c:v>9.9401309944961755E-2</c:v>
                </c:pt>
                <c:pt idx="7">
                  <c:v>9.9019206561895973E-2</c:v>
                </c:pt>
                <c:pt idx="8">
                  <c:v>9.8641184154777212E-2</c:v>
                </c:pt>
                <c:pt idx="9">
                  <c:v>9.8267163678253305E-2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58-4ECF-B564-952A2C675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3370896"/>
        <c:axId val="945942528"/>
      </c:barChart>
      <c:catAx>
        <c:axId val="99337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5942528"/>
        <c:crosses val="autoZero"/>
        <c:auto val="1"/>
        <c:lblAlgn val="ctr"/>
        <c:lblOffset val="100"/>
        <c:noMultiLvlLbl val="0"/>
      </c:catAx>
      <c:valAx>
        <c:axId val="94594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337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Bolsa Família</a:t>
            </a:r>
            <a:r>
              <a:rPr lang="pt-BR" baseline="0"/>
              <a:t> Janeiro 2017 - 13.601.764 registros</a:t>
            </a:r>
          </a:p>
          <a:p>
            <a:pPr>
              <a:defRPr/>
            </a:pPr>
            <a:r>
              <a:rPr lang="pt-BR" baseline="0"/>
              <a:t>Primeiro dígito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BendfordDigitos!$E$1</c:f>
              <c:strCache>
                <c:ptCount val="1"/>
                <c:pt idx="0">
                  <c:v>Primeiro Digito 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BendfordDigitos!$A$2:$A$11</c15:sqref>
                  </c15:fullRef>
                </c:ext>
              </c:extLst>
              <c:f>BendfordDigitos!$A$3:$A$11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BendfordDigitos!$E$2:$E$11</c15:sqref>
                  </c15:fullRef>
                </c:ext>
              </c:extLst>
              <c:f>BendfordDigitos!$E$3:$E$11</c:f>
              <c:numCache>
                <c:formatCode>0.00%</c:formatCode>
                <c:ptCount val="9"/>
                <c:pt idx="0">
                  <c:v>0.42751601924573901</c:v>
                </c:pt>
                <c:pt idx="1">
                  <c:v>0.2187570670980617</c:v>
                </c:pt>
                <c:pt idx="2">
                  <c:v>0.12176391238665808</c:v>
                </c:pt>
                <c:pt idx="3">
                  <c:v>3.6766775250621907E-2</c:v>
                </c:pt>
                <c:pt idx="4">
                  <c:v>1.1398006905574895E-2</c:v>
                </c:pt>
                <c:pt idx="5">
                  <c:v>2.7715522780721678E-3</c:v>
                </c:pt>
                <c:pt idx="6">
                  <c:v>4.0421668836483265E-2</c:v>
                </c:pt>
                <c:pt idx="7">
                  <c:v>0.1365623605879355</c:v>
                </c:pt>
                <c:pt idx="8">
                  <c:v>4.0426374108534745E-3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1-49EE-A825-14E019924335}"/>
            </c:ext>
          </c:extLst>
        </c:ser>
        <c:ser>
          <c:idx val="1"/>
          <c:order val="1"/>
          <c:tx>
            <c:strRef>
              <c:f>BendfordDigitos!$F$1</c:f>
              <c:strCache>
                <c:ptCount val="1"/>
                <c:pt idx="0">
                  <c:v>Primeiro Digito Benford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7.499063502778314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31-4CD4-91BC-540CB85211CB}"/>
                </c:ext>
              </c:extLst>
            </c:dLbl>
            <c:dLbl>
              <c:idx val="1"/>
              <c:layout>
                <c:manualLayout>
                  <c:x val="8.9988762033339498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31-4CD4-91BC-540CB85211CB}"/>
                </c:ext>
              </c:extLst>
            </c:dLbl>
            <c:dLbl>
              <c:idx val="2"/>
              <c:layout>
                <c:manualLayout>
                  <c:x val="2.0341829752599398E-2"/>
                  <c:y val="-8.0013623775444801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D2-422C-B81A-9958BBBDDD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BendfordDigitos!$A$2:$A$11</c15:sqref>
                  </c15:fullRef>
                </c:ext>
              </c:extLst>
              <c:f>BendfordDigitos!$A$3:$A$11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BendfordDigitos!$F$2:$F$11</c15:sqref>
                  </c15:fullRef>
                </c:ext>
              </c:extLst>
              <c:f>BendfordDigitos!$F$3:$F$11</c:f>
              <c:numCache>
                <c:formatCode>0.00%</c:formatCode>
                <c:ptCount val="9"/>
                <c:pt idx="0">
                  <c:v>0.3010299956639812</c:v>
                </c:pt>
                <c:pt idx="1">
                  <c:v>0.17609125905568124</c:v>
                </c:pt>
                <c:pt idx="2">
                  <c:v>0.12493873660829993</c:v>
                </c:pt>
                <c:pt idx="3">
                  <c:v>9.691001300805642E-2</c:v>
                </c:pt>
                <c:pt idx="4">
                  <c:v>7.9181246047624818E-2</c:v>
                </c:pt>
                <c:pt idx="5">
                  <c:v>6.6946789630613221E-2</c:v>
                </c:pt>
                <c:pt idx="6">
                  <c:v>5.7991946977686733E-2</c:v>
                </c:pt>
                <c:pt idx="7">
                  <c:v>5.1152522447381291E-2</c:v>
                </c:pt>
                <c:pt idx="8">
                  <c:v>4.5757490560675143E-2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B1-49EE-A825-14E019924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1855312"/>
        <c:axId val="941190320"/>
      </c:barChart>
      <c:catAx>
        <c:axId val="94185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1190320"/>
        <c:crosses val="autoZero"/>
        <c:auto val="1"/>
        <c:lblAlgn val="ctr"/>
        <c:lblOffset val="100"/>
        <c:noMultiLvlLbl val="0"/>
      </c:catAx>
      <c:valAx>
        <c:axId val="94119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185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Segundo</a:t>
            </a:r>
            <a:r>
              <a:rPr lang="pt-BR" baseline="0"/>
              <a:t> dígito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BendfordDigitos!$G$1</c:f>
              <c:strCache>
                <c:ptCount val="1"/>
                <c:pt idx="0">
                  <c:v>Segundo Digito E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49943810166698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BD-419F-A173-639A2576B713}"/>
                </c:ext>
              </c:extLst>
            </c:dLbl>
            <c:dLbl>
              <c:idx val="4"/>
              <c:layout>
                <c:manualLayout>
                  <c:x val="-7.49906350277831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BD-419F-A173-639A2576B713}"/>
                </c:ext>
              </c:extLst>
            </c:dLbl>
            <c:dLbl>
              <c:idx val="8"/>
              <c:layout>
                <c:manualLayout>
                  <c:x val="-8.998876203333977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BD-419F-A173-639A2576B713}"/>
                </c:ext>
              </c:extLst>
            </c:dLbl>
            <c:dLbl>
              <c:idx val="9"/>
              <c:layout>
                <c:manualLayout>
                  <c:x val="-4.49943810166698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4BD-419F-A173-639A2576B7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BendfordDigitos!$A$2:$A$11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BendfordDigitos!$G$2:$G$11</c:f>
              <c:numCache>
                <c:formatCode>0.00%</c:formatCode>
                <c:ptCount val="10"/>
                <c:pt idx="0">
                  <c:v>8.411519227939887E-2</c:v>
                </c:pt>
                <c:pt idx="1">
                  <c:v>4.8401912298127459E-2</c:v>
                </c:pt>
                <c:pt idx="2">
                  <c:v>0.17890322330656172</c:v>
                </c:pt>
                <c:pt idx="3">
                  <c:v>4.4985518652524058E-2</c:v>
                </c:pt>
                <c:pt idx="4">
                  <c:v>7.8145381685027257E-2</c:v>
                </c:pt>
                <c:pt idx="5">
                  <c:v>0.17711205219711279</c:v>
                </c:pt>
                <c:pt idx="6">
                  <c:v>0.13523279379092054</c:v>
                </c:pt>
                <c:pt idx="7">
                  <c:v>0.10732078785647603</c:v>
                </c:pt>
                <c:pt idx="8">
                  <c:v>6.3892332977393135E-2</c:v>
                </c:pt>
                <c:pt idx="9">
                  <c:v>8.1890804956458174E-2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D-419F-A173-639A2576B713}"/>
            </c:ext>
          </c:extLst>
        </c:ser>
        <c:ser>
          <c:idx val="1"/>
          <c:order val="1"/>
          <c:tx>
            <c:strRef>
              <c:f>BendfordDigitos!$H$1</c:f>
              <c:strCache>
                <c:ptCount val="1"/>
                <c:pt idx="0">
                  <c:v>Segundo Digito Benford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8.9988762033339775E-3"/>
                  <c:y val="-9.290825565715844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BD-419F-A173-639A2576B713}"/>
                </c:ext>
              </c:extLst>
            </c:dLbl>
            <c:dLbl>
              <c:idx val="5"/>
              <c:layout>
                <c:manualLayout>
                  <c:x val="5.999250802222651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BD-419F-A173-639A2576B713}"/>
                </c:ext>
              </c:extLst>
            </c:dLbl>
            <c:dLbl>
              <c:idx val="6"/>
              <c:layout>
                <c:manualLayout>
                  <c:x val="4.49943810166698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4BD-419F-A173-639A2576B713}"/>
                </c:ext>
              </c:extLst>
            </c:dLbl>
            <c:dLbl>
              <c:idx val="7"/>
              <c:layout>
                <c:manualLayout>
                  <c:x val="5.999250802222541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BD-419F-A173-639A2576B713}"/>
                </c:ext>
              </c:extLst>
            </c:dLbl>
            <c:dLbl>
              <c:idx val="9"/>
              <c:layout>
                <c:manualLayout>
                  <c:x val="7.499063502778314E-3"/>
                  <c:y val="-9.290825565715844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BD-419F-A173-639A2576B7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BendfordDigitos!$A$2:$A$11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BendfordDigitos!$H$2:$H$11</c:f>
              <c:numCache>
                <c:formatCode>0.00%</c:formatCode>
                <c:ptCount val="10"/>
                <c:pt idx="0">
                  <c:v>0.11967926859688076</c:v>
                </c:pt>
                <c:pt idx="1">
                  <c:v>0.1138901034075564</c:v>
                </c:pt>
                <c:pt idx="2">
                  <c:v>0.10882149900550823</c:v>
                </c:pt>
                <c:pt idx="3">
                  <c:v>0.10432956023095939</c:v>
                </c:pt>
                <c:pt idx="4">
                  <c:v>0.10030820226757937</c:v>
                </c:pt>
                <c:pt idx="5">
                  <c:v>9.6677235802322431E-2</c:v>
                </c:pt>
                <c:pt idx="6">
                  <c:v>9.337473578303615E-2</c:v>
                </c:pt>
                <c:pt idx="7">
                  <c:v>9.0351989269603319E-2</c:v>
                </c:pt>
                <c:pt idx="8">
                  <c:v>8.7570053578861384E-2</c:v>
                </c:pt>
                <c:pt idx="9">
                  <c:v>8.4997352057692238E-2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D-419F-A173-639A2576B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9188624"/>
        <c:axId val="955227264"/>
      </c:barChart>
      <c:catAx>
        <c:axId val="94918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5227264"/>
        <c:crosses val="autoZero"/>
        <c:auto val="1"/>
        <c:lblAlgn val="ctr"/>
        <c:lblOffset val="100"/>
        <c:noMultiLvlLbl val="0"/>
      </c:catAx>
      <c:valAx>
        <c:axId val="9552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918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Terceiro dígito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BendfordDigitos!$I$1</c:f>
              <c:strCache>
                <c:ptCount val="1"/>
                <c:pt idx="0">
                  <c:v>Terceiro Digito 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8"/>
              <c:layout>
                <c:manualLayout>
                  <c:x val="-2.8278546803332948E-3"/>
                  <c:y val="-2.13675177724749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91-4A9B-BB3A-3C55799C33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BendfordDigitos!$A$2:$A$11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BendfordDigitos!$I$2:$I$11</c:f>
              <c:numCache>
                <c:formatCode>0.00%</c:formatCode>
                <c:ptCount val="10"/>
                <c:pt idx="0">
                  <c:v>5.5036344055126876E-2</c:v>
                </c:pt>
                <c:pt idx="1">
                  <c:v>0.12629441046847628</c:v>
                </c:pt>
                <c:pt idx="2">
                  <c:v>0.14897803737281509</c:v>
                </c:pt>
                <c:pt idx="3">
                  <c:v>0.16444674986091976</c:v>
                </c:pt>
                <c:pt idx="4">
                  <c:v>0.20206764361903679</c:v>
                </c:pt>
                <c:pt idx="5">
                  <c:v>2.3096384299213919E-2</c:v>
                </c:pt>
                <c:pt idx="6">
                  <c:v>8.0751582911593164E-2</c:v>
                </c:pt>
                <c:pt idx="7">
                  <c:v>0.10970013623597266</c:v>
                </c:pt>
                <c:pt idx="8">
                  <c:v>4.5322420314490089E-2</c:v>
                </c:pt>
                <c:pt idx="9">
                  <c:v>4.4306290862355387E-2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91-4A9B-BB3A-3C55799C33DF}"/>
            </c:ext>
          </c:extLst>
        </c:ser>
        <c:ser>
          <c:idx val="1"/>
          <c:order val="1"/>
          <c:tx>
            <c:strRef>
              <c:f>BendfordDigitos!$J$1</c:f>
              <c:strCache>
                <c:ptCount val="1"/>
                <c:pt idx="0">
                  <c:v>Terceiro Digito Benford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8.4835640409998848E-3"/>
                  <c:y val="-7.8346660098438517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1-4A9B-BB3A-3C55799C33DF}"/>
                </c:ext>
              </c:extLst>
            </c:dLbl>
            <c:dLbl>
              <c:idx val="2"/>
              <c:layout>
                <c:manualLayout>
                  <c:x val="8.48356404099988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91-4A9B-BB3A-3C55799C33DF}"/>
                </c:ext>
              </c:extLst>
            </c:dLbl>
            <c:dLbl>
              <c:idx val="3"/>
              <c:layout>
                <c:manualLayout>
                  <c:x val="8.48356404099988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1-4A9B-BB3A-3C55799C33DF}"/>
                </c:ext>
              </c:extLst>
            </c:dLbl>
            <c:dLbl>
              <c:idx val="4"/>
              <c:layout>
                <c:manualLayout>
                  <c:x val="9.8974913811665319E-3"/>
                  <c:y val="-7.8346660098438517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91-4A9B-BB3A-3C55799C33DF}"/>
                </c:ext>
              </c:extLst>
            </c:dLbl>
            <c:dLbl>
              <c:idx val="7"/>
              <c:layout>
                <c:manualLayout>
                  <c:x val="7.069636700833133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1-4A9B-BB3A-3C55799C33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BendfordDigitos!$A$2:$A$11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BendfordDigitos!$J$2:$J$11</c:f>
              <c:numCache>
                <c:formatCode>0.00%</c:formatCode>
                <c:ptCount val="10"/>
                <c:pt idx="0">
                  <c:v>0.1017843646442167</c:v>
                </c:pt>
                <c:pt idx="1">
                  <c:v>0.1013759774478013</c:v>
                </c:pt>
                <c:pt idx="2">
                  <c:v>0.10097219813704165</c:v>
                </c:pt>
                <c:pt idx="3">
                  <c:v>0.10057293211092622</c:v>
                </c:pt>
                <c:pt idx="4">
                  <c:v>0.1001780876279476</c:v>
                </c:pt>
                <c:pt idx="5">
                  <c:v>9.9787575692177471E-2</c:v>
                </c:pt>
                <c:pt idx="6">
                  <c:v>9.9401309944961755E-2</c:v>
                </c:pt>
                <c:pt idx="7">
                  <c:v>9.9019206561895973E-2</c:v>
                </c:pt>
                <c:pt idx="8">
                  <c:v>9.8641184154777212E-2</c:v>
                </c:pt>
                <c:pt idx="9">
                  <c:v>9.8267163678253305E-2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91-4A9B-BB3A-3C55799C3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73840"/>
        <c:axId val="942276096"/>
      </c:barChart>
      <c:catAx>
        <c:axId val="77097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2276096"/>
        <c:crosses val="autoZero"/>
        <c:auto val="1"/>
        <c:lblAlgn val="ctr"/>
        <c:lblOffset val="100"/>
        <c:noMultiLvlLbl val="0"/>
      </c:catAx>
      <c:valAx>
        <c:axId val="94227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097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</xdr:colOff>
      <xdr:row>14</xdr:row>
      <xdr:rowOff>14287</xdr:rowOff>
    </xdr:from>
    <xdr:to>
      <xdr:col>7</xdr:col>
      <xdr:colOff>400050</xdr:colOff>
      <xdr:row>26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29AA6E-E474-48F8-93C4-49010E8F42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28574</xdr:colOff>
      <xdr:row>26</xdr:row>
      <xdr:rowOff>19050</xdr:rowOff>
    </xdr:from>
    <xdr:to>
      <xdr:col>7</xdr:col>
      <xdr:colOff>390524</xdr:colOff>
      <xdr:row>37</xdr:row>
      <xdr:rowOff>28575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83437C-0C71-4A85-9A12-CE1075CAB4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28574</xdr:colOff>
      <xdr:row>37</xdr:row>
      <xdr:rowOff>47625</xdr:rowOff>
    </xdr:from>
    <xdr:to>
      <xdr:col>7</xdr:col>
      <xdr:colOff>390524</xdr:colOff>
      <xdr:row>49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135DB45-D922-429B-8EAF-5B44BD1EC5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457199</xdr:colOff>
      <xdr:row>31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62238EF-4EEB-4701-BAC1-920B0A4FA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190499</xdr:rowOff>
    </xdr:from>
    <xdr:to>
      <xdr:col>14</xdr:col>
      <xdr:colOff>438150</xdr:colOff>
      <xdr:row>64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ED59A5-0DBC-4494-B621-D2E762E01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66</xdr:row>
      <xdr:rowOff>190499</xdr:rowOff>
    </xdr:from>
    <xdr:to>
      <xdr:col>14</xdr:col>
      <xdr:colOff>447674</xdr:colOff>
      <xdr:row>98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03F4D4-9CA0-4404-9319-D18C366F6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01626D-73A3-4021-ACE6-2DD391BF6542}" name="Tabela1" displayName="Tabela1" ref="A11:H22" totalsRowShown="0" headerRowDxfId="4" dataDxfId="5" headerRowBorderDxfId="14" tableBorderDxfId="15" dataCellStyle="Moeda">
  <tableColumns count="8">
    <tableColumn id="1" xr3:uid="{ADAE27B5-694C-4427-BCA1-B9C80BF144DF}" name="Digito" dataDxfId="13"/>
    <tableColumn id="2" xr3:uid="{757D921E-AED0-4B02-A9A8-48638072BDB9}" name="Beneficiários(B)" dataDxfId="12" dataCellStyle="Vírgula"/>
    <tableColumn id="3" xr3:uid="{6906D1CB-1F79-4E1E-A821-7B09056FDAA1}" name="Benefício Médio(BM)" dataDxfId="11" dataCellStyle="Moeda"/>
    <tableColumn id="4" xr3:uid="{389171D9-740A-403F-ADED-E4D2933D091D}" name="B X BM" dataDxfId="10" dataCellStyle="Moeda"/>
    <tableColumn id="5" xr3:uid="{C5E4959E-AAEC-4D82-8C08-AACFD346AB06}" name="DP" dataDxfId="9" dataCellStyle="Moeda"/>
    <tableColumn id="6" xr3:uid="{B0382052-DFB5-4222-9D95-0C46090B36B4}" name="DP %" dataDxfId="8" dataCellStyle="Porcentagem"/>
    <tableColumn id="7" xr3:uid="{BF2E74A4-247D-4D78-ADCA-B71F524CCF31}" name="Mín" dataDxfId="7" dataCellStyle="Moeda"/>
    <tableColumn id="8" xr3:uid="{172AF387-E987-4667-94AE-F7FE3908339B}" name="Máx" dataDxfId="6" dataCellStyle="Moeda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2EC951-B642-44E4-AE0F-F32EB191CF96}" name="Tabela2" displayName="Tabela2" ref="B4:C8" totalsRowShown="0" headerRowBorderDxfId="2" tableBorderDxfId="3" totalsRowBorderDxfId="1">
  <tableColumns count="2">
    <tableColumn id="1" xr3:uid="{8BC76740-4AAD-487A-9411-05396BC0DAC1}" name="Valor total pago" dataDxfId="0"/>
    <tableColumn id="2" xr3:uid="{F0704E67-E141-4967-B195-8FFFD03F0623}" name=" R$ 2.425.388.470,00 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90033-2E3A-4176-AE0F-BBC983A1B9B0}">
  <sheetPr codeName="Planilha7"/>
  <dimension ref="A1:E13"/>
  <sheetViews>
    <sheetView workbookViewId="0">
      <selection activeCell="H4" sqref="H4"/>
    </sheetView>
  </sheetViews>
  <sheetFormatPr defaultRowHeight="15" x14ac:dyDescent="0.25"/>
  <cols>
    <col min="1" max="1" width="6.28515625" bestFit="1" customWidth="1"/>
    <col min="2" max="3" width="14.42578125" bestFit="1" customWidth="1"/>
    <col min="4" max="4" width="14" bestFit="1" customWidth="1"/>
    <col min="5" max="5" width="12.7109375" bestFit="1" customWidth="1"/>
  </cols>
  <sheetData>
    <row r="1" spans="1:5" x14ac:dyDescent="0.25">
      <c r="A1" s="2" t="s">
        <v>14</v>
      </c>
    </row>
    <row r="3" spans="1:5" x14ac:dyDescent="0.25">
      <c r="A3" s="5" t="s">
        <v>5</v>
      </c>
      <c r="B3" s="5" t="s">
        <v>0</v>
      </c>
      <c r="C3" s="5" t="s">
        <v>1</v>
      </c>
      <c r="D3" s="5" t="s">
        <v>2</v>
      </c>
      <c r="E3" s="5" t="s">
        <v>3</v>
      </c>
    </row>
    <row r="4" spans="1:5" x14ac:dyDescent="0.25">
      <c r="A4" s="6">
        <v>0</v>
      </c>
      <c r="B4" s="8">
        <v>0</v>
      </c>
      <c r="C4" s="8">
        <v>0.11967926859688076</v>
      </c>
      <c r="D4" s="8">
        <v>0.1017843646442167</v>
      </c>
      <c r="E4" s="8">
        <v>0.10017614693993601</v>
      </c>
    </row>
    <row r="5" spans="1:5" x14ac:dyDescent="0.25">
      <c r="A5" s="6">
        <v>1</v>
      </c>
      <c r="B5" s="8">
        <v>0.3010299956639812</v>
      </c>
      <c r="C5" s="8">
        <v>0.1138901034075564</v>
      </c>
      <c r="D5" s="8">
        <v>0.1013759774478013</v>
      </c>
      <c r="E5" s="8">
        <v>0.10013688811757808</v>
      </c>
    </row>
    <row r="6" spans="1:5" x14ac:dyDescent="0.25">
      <c r="A6" s="6">
        <v>2</v>
      </c>
      <c r="B6" s="8">
        <v>0.17609125905568124</v>
      </c>
      <c r="C6" s="8">
        <v>0.10882149900550823</v>
      </c>
      <c r="D6" s="8">
        <v>0.10097219813704165</v>
      </c>
      <c r="E6" s="8">
        <v>0.10009767259461483</v>
      </c>
    </row>
    <row r="7" spans="1:5" x14ac:dyDescent="0.25">
      <c r="A7" s="6">
        <v>3</v>
      </c>
      <c r="B7" s="8">
        <v>0.12493873660829993</v>
      </c>
      <c r="C7" s="8">
        <v>0.10432956023095939</v>
      </c>
      <c r="D7" s="8">
        <v>0.10057293211092622</v>
      </c>
      <c r="E7" s="8">
        <v>0.1000585002834869</v>
      </c>
    </row>
    <row r="8" spans="1:5" x14ac:dyDescent="0.25">
      <c r="A8" s="6">
        <v>4</v>
      </c>
      <c r="B8" s="8">
        <v>9.691001300805642E-2</v>
      </c>
      <c r="C8" s="8">
        <v>0.10030820226757937</v>
      </c>
      <c r="D8" s="8">
        <v>0.1001780876279476</v>
      </c>
      <c r="E8" s="8">
        <v>0.10001937109690448</v>
      </c>
    </row>
    <row r="9" spans="1:5" x14ac:dyDescent="0.25">
      <c r="A9" s="6">
        <v>5</v>
      </c>
      <c r="B9" s="8">
        <v>7.9181246047624818E-2</v>
      </c>
      <c r="C9" s="8">
        <v>9.6677235802322431E-2</v>
      </c>
      <c r="D9" s="8">
        <v>9.9787575692177471E-2</v>
      </c>
      <c r="E9" s="8">
        <v>9.9980284947841086E-2</v>
      </c>
    </row>
    <row r="10" spans="1:5" x14ac:dyDescent="0.25">
      <c r="A10" s="6">
        <v>6</v>
      </c>
      <c r="B10" s="8">
        <v>6.6946789630613221E-2</v>
      </c>
      <c r="C10" s="8">
        <v>9.337473578303615E-2</v>
      </c>
      <c r="D10" s="8">
        <v>9.9401309944961755E-2</v>
      </c>
      <c r="E10" s="8">
        <v>9.9941241749525844E-2</v>
      </c>
    </row>
    <row r="11" spans="1:5" x14ac:dyDescent="0.25">
      <c r="A11" s="6">
        <v>7</v>
      </c>
      <c r="B11" s="8">
        <v>5.7991946977686733E-2</v>
      </c>
      <c r="C11" s="8">
        <v>9.0351989269603319E-2</v>
      </c>
      <c r="D11" s="8">
        <v>9.9019206561895973E-2</v>
      </c>
      <c r="E11" s="8">
        <v>9.9902241415449178E-2</v>
      </c>
    </row>
    <row r="12" spans="1:5" x14ac:dyDescent="0.25">
      <c r="A12" s="6">
        <v>8</v>
      </c>
      <c r="B12" s="8">
        <v>5.1152522447381291E-2</v>
      </c>
      <c r="C12" s="8">
        <v>8.7570053578861384E-2</v>
      </c>
      <c r="D12" s="8">
        <v>9.8641184154777212E-2</v>
      </c>
      <c r="E12" s="8">
        <v>9.9863283859372445E-2</v>
      </c>
    </row>
    <row r="13" spans="1:5" x14ac:dyDescent="0.25">
      <c r="A13" s="6">
        <v>9</v>
      </c>
      <c r="B13" s="8">
        <v>4.5757490560675143E-2</v>
      </c>
      <c r="C13" s="8">
        <v>8.4997352057692238E-2</v>
      </c>
      <c r="D13" s="8">
        <v>9.8267163678253305E-2</v>
      </c>
      <c r="E13" s="8">
        <v>9.9824368995291124E-2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958B7-9566-46BB-879D-BE46439F41C5}">
  <sheetPr codeName="Planilha1"/>
  <dimension ref="A1"/>
  <sheetViews>
    <sheetView topLeftCell="A4" zoomScaleNormal="100" workbookViewId="0">
      <selection activeCell="A67" sqref="A6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58B09-D000-4196-958A-3636C6297607}">
  <sheetPr codeName="Planilha2"/>
  <dimension ref="A1:J12"/>
  <sheetViews>
    <sheetView workbookViewId="0">
      <selection activeCell="J2" sqref="J2"/>
    </sheetView>
  </sheetViews>
  <sheetFormatPr defaultRowHeight="15" x14ac:dyDescent="0.25"/>
  <cols>
    <col min="1" max="1" width="6.28515625" bestFit="1" customWidth="1"/>
    <col min="3" max="3" width="19.5703125" bestFit="1" customWidth="1"/>
    <col min="4" max="4" width="19.5703125" customWidth="1"/>
    <col min="5" max="5" width="16" bestFit="1" customWidth="1"/>
    <col min="6" max="6" width="22.42578125" bestFit="1" customWidth="1"/>
    <col min="7" max="7" width="16" bestFit="1" customWidth="1"/>
    <col min="8" max="8" width="22.42578125" customWidth="1"/>
    <col min="9" max="9" width="15.5703125" bestFit="1" customWidth="1"/>
    <col min="10" max="10" width="22.42578125" customWidth="1"/>
  </cols>
  <sheetData>
    <row r="1" spans="1:10" x14ac:dyDescent="0.25">
      <c r="A1" s="2" t="s">
        <v>5</v>
      </c>
      <c r="B1" s="2" t="s">
        <v>4</v>
      </c>
      <c r="C1" s="2" t="s">
        <v>10</v>
      </c>
      <c r="D1" s="2" t="s">
        <v>11</v>
      </c>
      <c r="E1" s="2" t="s">
        <v>6</v>
      </c>
      <c r="F1" s="2" t="s">
        <v>7</v>
      </c>
      <c r="G1" s="2" t="s">
        <v>9</v>
      </c>
      <c r="H1" s="2" t="s">
        <v>8</v>
      </c>
      <c r="I1" s="2" t="s">
        <v>12</v>
      </c>
      <c r="J1" s="2" t="s">
        <v>15</v>
      </c>
    </row>
    <row r="2" spans="1:10" x14ac:dyDescent="0.25">
      <c r="A2">
        <v>0</v>
      </c>
      <c r="B2">
        <v>0</v>
      </c>
      <c r="C2">
        <v>1144017</v>
      </c>
      <c r="D2">
        <v>570821</v>
      </c>
      <c r="E2" s="1">
        <f>B2/$B$12</f>
        <v>0</v>
      </c>
      <c r="F2" s="3">
        <f>Benford_Teórico!B4</f>
        <v>0</v>
      </c>
      <c r="G2" s="3">
        <f>C2/$C$12</f>
        <v>8.411519227939887E-2</v>
      </c>
      <c r="H2" s="3">
        <f>Benford_Teórico!C4</f>
        <v>0.11967926859688076</v>
      </c>
      <c r="I2" s="3">
        <f>D2/$D$12</f>
        <v>5.5036344055126876E-2</v>
      </c>
      <c r="J2" s="3">
        <f>Benford_Teórico!D4</f>
        <v>0.1017843646442167</v>
      </c>
    </row>
    <row r="3" spans="1:10" x14ac:dyDescent="0.25">
      <c r="A3">
        <v>1</v>
      </c>
      <c r="B3">
        <v>5814972</v>
      </c>
      <c r="C3">
        <v>658295</v>
      </c>
      <c r="D3">
        <v>1309889</v>
      </c>
      <c r="E3" s="1">
        <f t="shared" ref="E3:E11" si="0">B3/$B$12</f>
        <v>0.42751601924573901</v>
      </c>
      <c r="F3" s="3">
        <f>Benford_Teórico!B5</f>
        <v>0.3010299956639812</v>
      </c>
      <c r="G3" s="3">
        <f t="shared" ref="G3:G11" si="1">C3/$C$12</f>
        <v>4.8401912298127459E-2</v>
      </c>
      <c r="H3" s="3">
        <f>Benford_Teórico!C5</f>
        <v>0.1138901034075564</v>
      </c>
      <c r="I3" s="3">
        <f t="shared" ref="I3:I11" si="2">D3/$D$12</f>
        <v>0.12629441046847628</v>
      </c>
      <c r="J3" s="3">
        <f>Benford_Teórico!D5</f>
        <v>0.1013759774478013</v>
      </c>
    </row>
    <row r="4" spans="1:10" x14ac:dyDescent="0.25">
      <c r="A4">
        <v>2</v>
      </c>
      <c r="B4">
        <v>2975482</v>
      </c>
      <c r="C4">
        <v>2433191</v>
      </c>
      <c r="D4">
        <v>1545157</v>
      </c>
      <c r="E4" s="1">
        <f t="shared" si="0"/>
        <v>0.2187570670980617</v>
      </c>
      <c r="F4" s="3">
        <f>Benford_Teórico!B6</f>
        <v>0.17609125905568124</v>
      </c>
      <c r="G4" s="3">
        <f t="shared" si="1"/>
        <v>0.17890322330656172</v>
      </c>
      <c r="H4" s="3">
        <f>Benford_Teórico!C6</f>
        <v>0.10882149900550823</v>
      </c>
      <c r="I4" s="3">
        <f t="shared" si="2"/>
        <v>0.14897803737281509</v>
      </c>
      <c r="J4" s="3">
        <f>Benford_Teórico!D6</f>
        <v>0.10097219813704165</v>
      </c>
    </row>
    <row r="5" spans="1:10" x14ac:dyDescent="0.25">
      <c r="A5">
        <v>3</v>
      </c>
      <c r="B5">
        <v>1656204</v>
      </c>
      <c r="C5">
        <v>611830</v>
      </c>
      <c r="D5">
        <v>1705594</v>
      </c>
      <c r="E5" s="1">
        <f t="shared" si="0"/>
        <v>0.12176391238665808</v>
      </c>
      <c r="F5" s="3">
        <f>Benford_Teórico!B7</f>
        <v>0.12493873660829993</v>
      </c>
      <c r="G5" s="3">
        <f t="shared" si="1"/>
        <v>4.4985518652524058E-2</v>
      </c>
      <c r="H5" s="3">
        <f>Benford_Teórico!C7</f>
        <v>0.10432956023095939</v>
      </c>
      <c r="I5" s="3">
        <f t="shared" si="2"/>
        <v>0.16444674986091976</v>
      </c>
      <c r="J5" s="3">
        <f>Benford_Teórico!D7</f>
        <v>0.10057293211092622</v>
      </c>
    </row>
    <row r="6" spans="1:10" x14ac:dyDescent="0.25">
      <c r="A6">
        <v>4</v>
      </c>
      <c r="B6">
        <v>500093</v>
      </c>
      <c r="C6">
        <v>1062824</v>
      </c>
      <c r="D6">
        <v>2095787</v>
      </c>
      <c r="E6" s="1">
        <f t="shared" si="0"/>
        <v>3.6766775250621907E-2</v>
      </c>
      <c r="F6" s="3">
        <f>Benford_Teórico!B8</f>
        <v>9.691001300805642E-2</v>
      </c>
      <c r="G6" s="3">
        <f t="shared" si="1"/>
        <v>7.8145381685027257E-2</v>
      </c>
      <c r="H6" s="3">
        <f>Benford_Teórico!C8</f>
        <v>0.10030820226757937</v>
      </c>
      <c r="I6" s="3">
        <f t="shared" si="2"/>
        <v>0.20206764361903679</v>
      </c>
      <c r="J6" s="3">
        <f>Benford_Teórico!D8</f>
        <v>0.1001780876279476</v>
      </c>
    </row>
    <row r="7" spans="1:10" x14ac:dyDescent="0.25">
      <c r="A7">
        <v>5</v>
      </c>
      <c r="B7">
        <v>155033</v>
      </c>
      <c r="C7">
        <v>2408830</v>
      </c>
      <c r="D7">
        <v>239549</v>
      </c>
      <c r="E7" s="1">
        <f t="shared" si="0"/>
        <v>1.1398006905574895E-2</v>
      </c>
      <c r="F7" s="3">
        <f>Benford_Teórico!B9</f>
        <v>7.9181246047624818E-2</v>
      </c>
      <c r="G7" s="3">
        <f t="shared" si="1"/>
        <v>0.17711205219711279</v>
      </c>
      <c r="H7" s="3">
        <f>Benford_Teórico!C9</f>
        <v>9.6677235802322431E-2</v>
      </c>
      <c r="I7" s="3">
        <f t="shared" si="2"/>
        <v>2.3096384299213919E-2</v>
      </c>
      <c r="J7" s="3">
        <f>Benford_Teórico!D9</f>
        <v>9.9787575692177471E-2</v>
      </c>
    </row>
    <row r="8" spans="1:10" x14ac:dyDescent="0.25">
      <c r="A8">
        <v>6</v>
      </c>
      <c r="B8">
        <v>37698</v>
      </c>
      <c r="C8">
        <v>1839247</v>
      </c>
      <c r="D8">
        <v>837532</v>
      </c>
      <c r="E8" s="1">
        <f t="shared" si="0"/>
        <v>2.7715522780721678E-3</v>
      </c>
      <c r="F8" s="3">
        <f>Benford_Teórico!B10</f>
        <v>6.6946789630613221E-2</v>
      </c>
      <c r="G8" s="3">
        <f t="shared" si="1"/>
        <v>0.13523279379092054</v>
      </c>
      <c r="H8" s="3">
        <f>Benford_Teórico!C10</f>
        <v>9.337473578303615E-2</v>
      </c>
      <c r="I8" s="3">
        <f t="shared" si="2"/>
        <v>8.0751582911593164E-2</v>
      </c>
      <c r="J8" s="3">
        <f>Benford_Teórico!D10</f>
        <v>9.9401309944961755E-2</v>
      </c>
    </row>
    <row r="9" spans="1:10" x14ac:dyDescent="0.25">
      <c r="A9">
        <v>7</v>
      </c>
      <c r="B9">
        <v>549806</v>
      </c>
      <c r="C9">
        <v>1459627</v>
      </c>
      <c r="D9">
        <v>1137778</v>
      </c>
      <c r="E9" s="1">
        <f t="shared" si="0"/>
        <v>4.0421668836483265E-2</v>
      </c>
      <c r="F9" s="3">
        <f>Benford_Teórico!B11</f>
        <v>5.7991946977686733E-2</v>
      </c>
      <c r="G9" s="3">
        <f t="shared" si="1"/>
        <v>0.10732078785647603</v>
      </c>
      <c r="H9" s="3">
        <f>Benford_Teórico!C11</f>
        <v>9.0351989269603319E-2</v>
      </c>
      <c r="I9" s="3">
        <f t="shared" si="2"/>
        <v>0.10970013623597266</v>
      </c>
      <c r="J9" s="3">
        <f>Benford_Teórico!D11</f>
        <v>9.9019206561895973E-2</v>
      </c>
    </row>
    <row r="10" spans="1:10" x14ac:dyDescent="0.25">
      <c r="A10">
        <v>8</v>
      </c>
      <c r="B10">
        <v>1857489</v>
      </c>
      <c r="C10">
        <v>868974</v>
      </c>
      <c r="D10">
        <v>470071</v>
      </c>
      <c r="E10" s="1">
        <f t="shared" si="0"/>
        <v>0.1365623605879355</v>
      </c>
      <c r="F10" s="3">
        <f>Benford_Teórico!B12</f>
        <v>5.1152522447381291E-2</v>
      </c>
      <c r="G10" s="3">
        <f t="shared" si="1"/>
        <v>6.3892332977393135E-2</v>
      </c>
      <c r="H10" s="3">
        <f>Benford_Teórico!C12</f>
        <v>8.7570053578861384E-2</v>
      </c>
      <c r="I10" s="3">
        <f t="shared" si="2"/>
        <v>4.5322420314490089E-2</v>
      </c>
      <c r="J10" s="3">
        <f>Benford_Teórico!D12</f>
        <v>9.8641184154777212E-2</v>
      </c>
    </row>
    <row r="11" spans="1:10" x14ac:dyDescent="0.25">
      <c r="A11">
        <v>9</v>
      </c>
      <c r="B11">
        <v>54987</v>
      </c>
      <c r="C11">
        <v>1113764</v>
      </c>
      <c r="D11">
        <v>459532</v>
      </c>
      <c r="E11" s="1">
        <f t="shared" si="0"/>
        <v>4.0426374108534745E-3</v>
      </c>
      <c r="F11" s="3">
        <f>Benford_Teórico!B13</f>
        <v>4.5757490560675143E-2</v>
      </c>
      <c r="G11" s="3">
        <f t="shared" si="1"/>
        <v>8.1890804956458174E-2</v>
      </c>
      <c r="H11" s="3">
        <f>Benford_Teórico!C13</f>
        <v>8.4997352057692238E-2</v>
      </c>
      <c r="I11" s="3">
        <f t="shared" si="2"/>
        <v>4.4306290862355387E-2</v>
      </c>
      <c r="J11" s="3">
        <f>Benford_Teórico!D13</f>
        <v>9.8267163678253305E-2</v>
      </c>
    </row>
    <row r="12" spans="1:10" x14ac:dyDescent="0.25">
      <c r="A12" s="2" t="s">
        <v>4</v>
      </c>
      <c r="B12">
        <f>SUM(B2:B11)</f>
        <v>13601764</v>
      </c>
      <c r="C12">
        <f>SUM(C2:C11)</f>
        <v>13600599</v>
      </c>
      <c r="D12">
        <f>SUM(D2:D11)</f>
        <v>10371710</v>
      </c>
      <c r="E12" s="1"/>
    </row>
  </sheetData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71953-310E-4370-9003-3C806A6A3CE7}">
  <sheetPr codeName="Planilha3"/>
  <dimension ref="A1:J29"/>
  <sheetViews>
    <sheetView tabSelected="1" workbookViewId="0">
      <selection activeCell="F6" sqref="F6"/>
    </sheetView>
  </sheetViews>
  <sheetFormatPr defaultRowHeight="15" x14ac:dyDescent="0.25"/>
  <cols>
    <col min="1" max="1" width="8.28515625" customWidth="1"/>
    <col min="2" max="2" width="20.85546875" bestFit="1" customWidth="1"/>
    <col min="3" max="3" width="22.140625" style="4" customWidth="1"/>
    <col min="4" max="4" width="19.5703125" style="4" customWidth="1"/>
    <col min="5" max="5" width="10.5703125" style="4" bestFit="1" customWidth="1"/>
    <col min="6" max="6" width="8.140625" style="4" bestFit="1" customWidth="1"/>
    <col min="7" max="8" width="10.5703125" style="4" bestFit="1" customWidth="1"/>
    <col min="10" max="10" width="19.5703125" bestFit="1" customWidth="1"/>
  </cols>
  <sheetData>
    <row r="1" spans="1:8" x14ac:dyDescent="0.25">
      <c r="A1" s="2" t="s">
        <v>13</v>
      </c>
    </row>
    <row r="2" spans="1:8" x14ac:dyDescent="0.25">
      <c r="A2" s="2"/>
    </row>
    <row r="3" spans="1:8" x14ac:dyDescent="0.25">
      <c r="A3" s="2"/>
    </row>
    <row r="4" spans="1:8" x14ac:dyDescent="0.25">
      <c r="A4" s="2"/>
      <c r="B4" s="16" t="s">
        <v>16</v>
      </c>
      <c r="C4" s="22" t="s">
        <v>28</v>
      </c>
    </row>
    <row r="5" spans="1:8" x14ac:dyDescent="0.25">
      <c r="A5" s="2"/>
      <c r="B5" s="14" t="s">
        <v>22</v>
      </c>
      <c r="C5" s="18">
        <v>178.31</v>
      </c>
    </row>
    <row r="6" spans="1:8" x14ac:dyDescent="0.25">
      <c r="A6" s="2"/>
      <c r="B6" s="14" t="s">
        <v>23</v>
      </c>
      <c r="C6" s="18">
        <v>104.05</v>
      </c>
    </row>
    <row r="7" spans="1:8" x14ac:dyDescent="0.25">
      <c r="A7" s="2"/>
      <c r="B7" s="14" t="s">
        <v>27</v>
      </c>
      <c r="C7" s="19">
        <f>C6/C5</f>
        <v>0.58353429420671865</v>
      </c>
    </row>
    <row r="8" spans="1:8" x14ac:dyDescent="0.25">
      <c r="A8" s="2"/>
      <c r="B8" s="20" t="s">
        <v>24</v>
      </c>
      <c r="C8" s="21">
        <v>13601764</v>
      </c>
    </row>
    <row r="9" spans="1:8" x14ac:dyDescent="0.25">
      <c r="A9" s="2"/>
    </row>
    <row r="10" spans="1:8" x14ac:dyDescent="0.25">
      <c r="A10" s="2" t="s">
        <v>29</v>
      </c>
    </row>
    <row r="11" spans="1:8" x14ac:dyDescent="0.25">
      <c r="A11" s="16" t="s">
        <v>5</v>
      </c>
      <c r="B11" s="17" t="s">
        <v>19</v>
      </c>
      <c r="C11" s="17" t="s">
        <v>20</v>
      </c>
      <c r="D11" s="17" t="s">
        <v>21</v>
      </c>
      <c r="E11" s="17" t="s">
        <v>25</v>
      </c>
      <c r="F11" s="17" t="s">
        <v>26</v>
      </c>
      <c r="G11" s="17" t="s">
        <v>17</v>
      </c>
      <c r="H11" s="17" t="s">
        <v>18</v>
      </c>
    </row>
    <row r="12" spans="1:8" x14ac:dyDescent="0.25">
      <c r="A12" s="15">
        <v>0</v>
      </c>
      <c r="B12" s="9">
        <v>0</v>
      </c>
      <c r="C12" s="7">
        <v>0</v>
      </c>
      <c r="D12" s="7">
        <f>C12*B12</f>
        <v>0</v>
      </c>
      <c r="E12" s="7">
        <v>0</v>
      </c>
      <c r="F12" s="8">
        <f>IFERROR(E12/C12,0)</f>
        <v>0</v>
      </c>
      <c r="G12" s="7">
        <v>0</v>
      </c>
      <c r="H12" s="7">
        <v>0</v>
      </c>
    </row>
    <row r="13" spans="1:8" x14ac:dyDescent="0.25">
      <c r="A13" s="15">
        <v>1</v>
      </c>
      <c r="B13" s="9">
        <v>5814972</v>
      </c>
      <c r="C13" s="7">
        <v>147.59</v>
      </c>
      <c r="D13" s="7">
        <f t="shared" ref="D13:D21" si="0">C13*B13</f>
        <v>858231717.48000002</v>
      </c>
      <c r="E13" s="7">
        <v>22.89</v>
      </c>
      <c r="F13" s="8">
        <f t="shared" ref="F13:F21" si="1">IFERROR(E13/C13,0)</f>
        <v>0.15509180838810219</v>
      </c>
      <c r="G13" s="7">
        <v>1</v>
      </c>
      <c r="H13" s="7">
        <v>199</v>
      </c>
    </row>
    <row r="14" spans="1:8" x14ac:dyDescent="0.25">
      <c r="A14" s="15">
        <v>2</v>
      </c>
      <c r="B14" s="9">
        <v>2975482</v>
      </c>
      <c r="C14" s="7">
        <v>236.51</v>
      </c>
      <c r="D14" s="7">
        <f t="shared" si="0"/>
        <v>703731247.81999993</v>
      </c>
      <c r="E14" s="7">
        <v>27.5</v>
      </c>
      <c r="F14" s="8">
        <f t="shared" si="1"/>
        <v>0.11627415331275634</v>
      </c>
      <c r="G14" s="7">
        <v>2</v>
      </c>
      <c r="H14" s="7">
        <v>299</v>
      </c>
    </row>
    <row r="15" spans="1:8" x14ac:dyDescent="0.25">
      <c r="A15" s="15">
        <v>3</v>
      </c>
      <c r="B15" s="9">
        <v>1656204</v>
      </c>
      <c r="C15" s="7">
        <v>215.32</v>
      </c>
      <c r="D15" s="7">
        <f t="shared" si="0"/>
        <v>356613845.27999997</v>
      </c>
      <c r="E15" s="7">
        <v>148.29</v>
      </c>
      <c r="F15" s="8">
        <f t="shared" si="1"/>
        <v>0.68869589448263047</v>
      </c>
      <c r="G15" s="7">
        <v>39</v>
      </c>
      <c r="H15" s="7">
        <v>399</v>
      </c>
    </row>
    <row r="16" spans="1:8" x14ac:dyDescent="0.25">
      <c r="A16" s="15">
        <v>4</v>
      </c>
      <c r="B16" s="9">
        <v>500093</v>
      </c>
      <c r="C16" s="7">
        <v>349.91</v>
      </c>
      <c r="D16" s="7">
        <f t="shared" si="0"/>
        <v>174987541.63000003</v>
      </c>
      <c r="E16" s="7">
        <v>162.66</v>
      </c>
      <c r="F16" s="8">
        <f t="shared" si="1"/>
        <v>0.46486239318681943</v>
      </c>
      <c r="G16" s="7">
        <v>46</v>
      </c>
      <c r="H16" s="7">
        <v>499</v>
      </c>
    </row>
    <row r="17" spans="1:10" x14ac:dyDescent="0.25">
      <c r="A17" s="15">
        <v>5</v>
      </c>
      <c r="B17" s="9">
        <v>155033</v>
      </c>
      <c r="C17" s="7">
        <v>541.79</v>
      </c>
      <c r="D17" s="7">
        <f t="shared" si="0"/>
        <v>83995329.069999993</v>
      </c>
      <c r="E17" s="7">
        <v>34.97</v>
      </c>
      <c r="F17" s="8">
        <f t="shared" si="1"/>
        <v>6.4545303530888359E-2</v>
      </c>
      <c r="G17" s="7">
        <v>500</v>
      </c>
      <c r="H17" s="7">
        <v>597</v>
      </c>
    </row>
    <row r="18" spans="1:10" x14ac:dyDescent="0.25">
      <c r="A18" s="15">
        <v>6</v>
      </c>
      <c r="B18" s="9">
        <v>37698</v>
      </c>
      <c r="C18" s="7">
        <v>654.1</v>
      </c>
      <c r="D18" s="7">
        <f t="shared" si="0"/>
        <v>24658261.800000001</v>
      </c>
      <c r="E18" s="7">
        <v>27.72</v>
      </c>
      <c r="F18" s="8">
        <f t="shared" si="1"/>
        <v>4.2378841155786572E-2</v>
      </c>
      <c r="G18" s="7">
        <v>600</v>
      </c>
      <c r="H18" s="7">
        <v>698</v>
      </c>
    </row>
    <row r="19" spans="1:10" x14ac:dyDescent="0.25">
      <c r="A19" s="15">
        <v>7</v>
      </c>
      <c r="B19" s="9">
        <v>549806</v>
      </c>
      <c r="C19" s="7">
        <v>96.47</v>
      </c>
      <c r="D19" s="7">
        <f t="shared" si="0"/>
        <v>53039784.82</v>
      </c>
      <c r="E19" s="7">
        <v>109.8</v>
      </c>
      <c r="F19" s="8">
        <f t="shared" si="1"/>
        <v>1.138177671815072</v>
      </c>
      <c r="G19" s="7">
        <v>78</v>
      </c>
      <c r="H19" s="7">
        <v>799</v>
      </c>
    </row>
    <row r="20" spans="1:10" x14ac:dyDescent="0.25">
      <c r="A20" s="15">
        <v>8</v>
      </c>
      <c r="B20" s="9">
        <v>1857489</v>
      </c>
      <c r="C20" s="7">
        <v>87.8</v>
      </c>
      <c r="D20" s="7">
        <f t="shared" si="0"/>
        <v>163087534.19999999</v>
      </c>
      <c r="E20" s="7">
        <v>42.4</v>
      </c>
      <c r="F20" s="8">
        <f t="shared" si="1"/>
        <v>0.48291571753986334</v>
      </c>
      <c r="G20" s="7">
        <v>85</v>
      </c>
      <c r="H20" s="7">
        <v>898</v>
      </c>
    </row>
    <row r="21" spans="1:10" x14ac:dyDescent="0.25">
      <c r="A21" s="15">
        <v>9</v>
      </c>
      <c r="B21" s="9">
        <v>54987</v>
      </c>
      <c r="C21" s="7">
        <v>127.5</v>
      </c>
      <c r="D21" s="7">
        <f t="shared" si="0"/>
        <v>7010842.5</v>
      </c>
      <c r="E21" s="7">
        <v>166.11</v>
      </c>
      <c r="F21" s="8">
        <f t="shared" si="1"/>
        <v>1.3028235294117647</v>
      </c>
      <c r="G21" s="7">
        <v>91</v>
      </c>
      <c r="H21" s="7">
        <v>998</v>
      </c>
    </row>
    <row r="22" spans="1:10" x14ac:dyDescent="0.25">
      <c r="A22" s="14" t="s">
        <v>4</v>
      </c>
      <c r="B22" s="9">
        <f>SUM(B12:B21)</f>
        <v>13601764</v>
      </c>
      <c r="C22" s="9"/>
      <c r="D22" s="13">
        <f t="shared" ref="D22" si="2">SUM(D12:D21)</f>
        <v>2425356104.6000004</v>
      </c>
      <c r="J22" s="4"/>
    </row>
    <row r="25" spans="1:10" x14ac:dyDescent="0.25">
      <c r="D25" s="10"/>
    </row>
    <row r="26" spans="1:10" x14ac:dyDescent="0.25">
      <c r="D26" s="10"/>
    </row>
    <row r="27" spans="1:10" x14ac:dyDescent="0.25">
      <c r="D27" s="10"/>
    </row>
    <row r="28" spans="1:10" x14ac:dyDescent="0.25">
      <c r="D28" s="11"/>
    </row>
    <row r="29" spans="1:10" x14ac:dyDescent="0.25">
      <c r="D29" s="12"/>
    </row>
  </sheetData>
  <pageMargins left="0.511811024" right="0.511811024" top="0.78740157499999996" bottom="0.78740157499999996" header="0.31496062000000002" footer="0.31496062000000002"/>
  <pageSetup paperSize="9" orientation="landscape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Benford_Teórico</vt:lpstr>
      <vt:lpstr>GráficoBenford</vt:lpstr>
      <vt:lpstr>BendfordDigitos</vt:lpstr>
      <vt:lpstr>BolsaFamiliaJan2017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cp:lastPrinted>2018-05-01T04:44:41Z</cp:lastPrinted>
  <dcterms:created xsi:type="dcterms:W3CDTF">2018-04-02T23:55:34Z</dcterms:created>
  <dcterms:modified xsi:type="dcterms:W3CDTF">2018-05-01T04:48:05Z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df614665-e8f0-4cb1-b4f3-e3ebe5af6fad</vt:lpwstr>
  </property>
</Properties>
</file>